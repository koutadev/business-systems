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進捗サマリ" sheetId="1" state="visible" r:id="rId3"/>
    <sheet name="マイルストーン" sheetId="2" state="visible" r:id="rId4"/>
    <sheet name="凡例・運用" sheetId="3" state="visible" r:id="rId5"/>
  </sheets>
  <definedNames>
    <definedName function="false" hidden="false" name="状態範囲" vbProcedure="false">進捗サマリ!$C$10:$C$17</definedName>
    <definedName function="false" hidden="false" name="進捗範囲" vbProcedure="false">進捗サマリ!$D$10:$D$17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<sst xmlns="http://schemas.openxmlformats.org/spreadsheetml/2006/main" count="108" uniqueCount="88">
  <si>
    <t xml:space="preserve">業務システム開発 進捗管理シート</t>
  </si>
  <si>
    <r>
      <rPr>
        <sz val="10"/>
        <rFont val="Noto Sans CJK SC"/>
        <family val="2"/>
      </rPr>
      <t xml:space="preserve">最終更新</t>
    </r>
    <r>
      <rPr>
        <sz val="10"/>
        <rFont val="Arial"/>
        <family val="0"/>
        <charset val="1"/>
      </rPr>
      <t xml:space="preserve">: 2026-08-25 </t>
    </r>
    <r>
      <rPr>
        <sz val="10"/>
        <rFont val="Noto Sans CJK SC"/>
        <family val="2"/>
      </rPr>
      <t xml:space="preserve">／ 方針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応募と並行し、</t>
    </r>
    <r>
      <rPr>
        <sz val="10"/>
        <rFont val="Arial"/>
        <family val="0"/>
        <charset val="1"/>
      </rPr>
      <t xml:space="preserve">MVP</t>
    </r>
    <r>
      <rPr>
        <sz val="10"/>
        <rFont val="Noto Sans CJK SC"/>
        <family val="2"/>
      </rPr>
      <t xml:space="preserve">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本ずつ仕上げてポートフォリオ反映</t>
    </r>
  </si>
  <si>
    <t xml:space="preserve">対象システム数</t>
  </si>
  <si>
    <t xml:space="preserve">完了</t>
  </si>
  <si>
    <t xml:space="preserve">進行中</t>
  </si>
  <si>
    <t xml:space="preserve">全体進捗率</t>
  </si>
  <si>
    <t xml:space="preserve">#</t>
  </si>
  <si>
    <t xml:space="preserve">システム</t>
  </si>
  <si>
    <t xml:space="preserve">状態</t>
  </si>
  <si>
    <t xml:space="preserve">進捗率</t>
  </si>
  <si>
    <t xml:space="preserve">想定クライアント</t>
  </si>
  <si>
    <t xml:space="preserve">主な見せ場</t>
  </si>
  <si>
    <r>
      <rPr>
        <b val="true"/>
        <sz val="11"/>
        <color rgb="FFFFFFFF"/>
        <rFont val="Noto Sans CJK SC"/>
        <family val="2"/>
      </rPr>
      <t xml:space="preserve">リポジトリ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デモ</t>
    </r>
  </si>
  <si>
    <t xml:space="preserve">業務システム共通基盤</t>
  </si>
  <si>
    <t xml:space="preserve">（基盤・共通）</t>
  </si>
  <si>
    <r>
      <rPr>
        <sz val="10"/>
        <rFont val="Noto Sans CJK SC"/>
        <family val="2"/>
      </rPr>
      <t xml:space="preserve">認証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権限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共通マスタ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一覧基盤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監査ログ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デザインシステム</t>
    </r>
  </si>
  <si>
    <t xml:space="preserve">laravel-business-template (Public)</t>
  </si>
  <si>
    <r>
      <rPr>
        <sz val="10"/>
        <rFont val="Noto Sans CJK SC"/>
        <family val="2"/>
      </rPr>
      <t xml:space="preserve">営業・売上管理</t>
    </r>
    <r>
      <rPr>
        <sz val="10"/>
        <rFont val="Arial"/>
        <family val="0"/>
        <charset val="1"/>
      </rPr>
      <t xml:space="preserve">CRM</t>
    </r>
  </si>
  <si>
    <r>
      <rPr>
        <sz val="10"/>
        <rFont val="Arial"/>
        <family val="0"/>
        <charset val="1"/>
      </rPr>
      <t xml:space="preserve">BtoB</t>
    </r>
    <r>
      <rPr>
        <sz val="10"/>
        <rFont val="Noto Sans CJK SC"/>
        <family val="2"/>
      </rPr>
      <t xml:space="preserve">法人営業（架空アルティス）</t>
    </r>
  </si>
  <si>
    <t xml:space="preserve">内税金額の正確性・集計効率・パイプライン・組織階層・予実管理</t>
  </si>
  <si>
    <t xml:space="preserve">crm-sales (Public) / crm-demo-static (Vercel)</t>
  </si>
  <si>
    <t xml:space="preserve">オンラインヨガ予約システム</t>
  </si>
  <si>
    <t xml:space="preserve">設計中</t>
  </si>
  <si>
    <t xml:space="preserve">オンラインヨガスタジオ（架空）</t>
  </si>
  <si>
    <r>
      <rPr>
        <sz val="10"/>
        <rFont val="Noto Sans CJK SC"/>
        <family val="2"/>
      </rPr>
      <t xml:space="preserve">予約競合防止・定員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キャンセル待ち・モバイル</t>
    </r>
    <r>
      <rPr>
        <sz val="10"/>
        <rFont val="Arial"/>
        <family val="0"/>
        <charset val="1"/>
      </rPr>
      <t xml:space="preserve">UX</t>
    </r>
  </si>
  <si>
    <r>
      <rPr>
        <sz val="10"/>
        <rFont val="Arial"/>
        <family val="0"/>
        <charset val="1"/>
      </rPr>
      <t xml:space="preserve">reservation-yoga (</t>
    </r>
    <r>
      <rPr>
        <sz val="10"/>
        <rFont val="Noto Sans CJK SC"/>
        <family val="2"/>
      </rPr>
      <t xml:space="preserve">予定</t>
    </r>
    <r>
      <rPr>
        <sz val="10"/>
        <rFont val="Arial"/>
        <family val="0"/>
        <charset val="1"/>
      </rPr>
      <t xml:space="preserve">)</t>
    </r>
  </si>
  <si>
    <t xml:space="preserve">勤怠管理システム</t>
  </si>
  <si>
    <t xml:space="preserve">未着手</t>
  </si>
  <si>
    <t xml:space="preserve">中小の製造・卸（〇〇製作所）</t>
  </si>
  <si>
    <t xml:space="preserve">打刻・シフト・月次集計・残業計算</t>
  </si>
  <si>
    <t xml:space="preserve">－</t>
  </si>
  <si>
    <t xml:space="preserve">受発注システム</t>
  </si>
  <si>
    <t xml:space="preserve">〇〇製作所（勤怠と共通）</t>
  </si>
  <si>
    <r>
      <rPr>
        <sz val="10"/>
        <rFont val="Noto Sans CJK SC"/>
        <family val="2"/>
      </rPr>
      <t xml:space="preserve">発注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受注・在庫・ステータス・帳票</t>
    </r>
  </si>
  <si>
    <t xml:space="preserve">レスポンシブサイト制作</t>
  </si>
  <si>
    <r>
      <rPr>
        <sz val="10"/>
        <rFont val="Noto Sans CJK SC"/>
        <family val="2"/>
      </rPr>
      <t xml:space="preserve">飲食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クリニック等</t>
    </r>
  </si>
  <si>
    <t xml:space="preserve">レスポンシブ・表示速度・アクセシビリティ</t>
  </si>
  <si>
    <r>
      <rPr>
        <sz val="10"/>
        <rFont val="Arial"/>
        <family val="0"/>
        <charset val="1"/>
      </rPr>
      <t xml:space="preserve">EC</t>
    </r>
    <r>
      <rPr>
        <sz val="10"/>
        <rFont val="Noto Sans CJK SC"/>
        <family val="2"/>
      </rPr>
      <t xml:space="preserve">サイト</t>
    </r>
  </si>
  <si>
    <r>
      <rPr>
        <sz val="10"/>
        <rFont val="Noto Sans CJK SC"/>
        <family val="2"/>
      </rPr>
      <t xml:space="preserve">アパレル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雑貨ショップ</t>
    </r>
  </si>
  <si>
    <r>
      <rPr>
        <sz val="10"/>
        <rFont val="Noto Sans CJK SC"/>
        <family val="2"/>
      </rPr>
      <t xml:space="preserve">カート・</t>
    </r>
    <r>
      <rPr>
        <sz val="10"/>
        <rFont val="Arial"/>
        <family val="0"/>
        <charset val="1"/>
      </rPr>
      <t xml:space="preserve">Stripe</t>
    </r>
    <r>
      <rPr>
        <sz val="10"/>
        <rFont val="Noto Sans CJK SC"/>
        <family val="2"/>
      </rPr>
      <t xml:space="preserve">決済・在庫・注文管理</t>
    </r>
  </si>
  <si>
    <r>
      <rPr>
        <sz val="10"/>
        <rFont val="Noto Sans CJK SC"/>
        <family val="2"/>
      </rPr>
      <t xml:space="preserve">統合版（</t>
    </r>
    <r>
      <rPr>
        <sz val="10"/>
        <rFont val="Arial"/>
        <family val="0"/>
        <charset val="1"/>
      </rPr>
      <t xml:space="preserve">ERP</t>
    </r>
    <r>
      <rPr>
        <sz val="10"/>
        <rFont val="Noto Sans CJK SC"/>
        <family val="2"/>
      </rPr>
      <t xml:space="preserve">的）</t>
    </r>
  </si>
  <si>
    <t xml:space="preserve">構想</t>
  </si>
  <si>
    <r>
      <rPr>
        <sz val="10"/>
        <rFont val="Noto Sans CJK SC"/>
        <family val="2"/>
      </rPr>
      <t xml:space="preserve">〇〇製作所（勤怠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受発注統合）</t>
    </r>
  </si>
  <si>
    <t xml:space="preserve">システム間連携・共通マスタ統合・横断ダッシュボード</t>
  </si>
  <si>
    <t xml:space="preserve">オンラインヨガ予約システム マイルストーン（現在の対象）</t>
  </si>
  <si>
    <r>
      <rPr>
        <sz val="10"/>
        <rFont val="Noto Sans CJK SC"/>
        <family val="2"/>
      </rPr>
      <t xml:space="preserve">標準フロー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基本設計→</t>
    </r>
    <r>
      <rPr>
        <sz val="10"/>
        <rFont val="Arial"/>
        <family val="0"/>
        <charset val="1"/>
      </rPr>
      <t xml:space="preserve">GitHub</t>
    </r>
    <r>
      <rPr>
        <sz val="10"/>
        <rFont val="Noto Sans CJK SC"/>
        <family val="2"/>
      </rPr>
      <t xml:space="preserve">公開→段階実装→仕上げ→静的デモ→ポートフォリオ反映</t>
    </r>
  </si>
  <si>
    <t xml:space="preserve">STEP</t>
  </si>
  <si>
    <t xml:space="preserve">内容</t>
  </si>
  <si>
    <t xml:space="preserve">完了日</t>
  </si>
  <si>
    <t xml:space="preserve">メモ</t>
  </si>
  <si>
    <t xml:space="preserve">STEP0</t>
  </si>
  <si>
    <t xml:space="preserve">リポジトリ作成＋基本設計書公開</t>
  </si>
  <si>
    <t xml:space="preserve">着手</t>
  </si>
  <si>
    <r>
      <rPr>
        <sz val="10"/>
        <rFont val="Noto Sans CJK SC"/>
        <family val="2"/>
      </rPr>
      <t xml:space="preserve">共通基盤を</t>
    </r>
    <r>
      <rPr>
        <sz val="10"/>
        <rFont val="Arial"/>
        <family val="0"/>
        <charset val="1"/>
      </rPr>
      <t xml:space="preserve">clone</t>
    </r>
    <r>
      <rPr>
        <sz val="10"/>
        <rFont val="Noto Sans CJK SC"/>
        <family val="2"/>
      </rPr>
      <t xml:space="preserve">して</t>
    </r>
    <r>
      <rPr>
        <sz val="10"/>
        <rFont val="Arial"/>
        <family val="0"/>
        <charset val="1"/>
      </rPr>
      <t xml:space="preserve">reservation-yoga</t>
    </r>
    <r>
      <rPr>
        <sz val="10"/>
        <rFont val="Noto Sans CJK SC"/>
        <family val="2"/>
      </rPr>
      <t xml:space="preserve">作成</t>
    </r>
  </si>
  <si>
    <t xml:space="preserve">STEP1</t>
  </si>
  <si>
    <r>
      <rPr>
        <sz val="10"/>
        <rFont val="Noto Sans CJK SC"/>
        <family val="2"/>
      </rPr>
      <t xml:space="preserve">マスタ・テーブル（講師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予約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待ち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リマインダ）</t>
    </r>
  </si>
  <si>
    <t xml:space="preserve">STEP2</t>
  </si>
  <si>
    <t xml:space="preserve">レッスン枠の開講・管理（管理側）</t>
  </si>
  <si>
    <t xml:space="preserve">STEP3</t>
  </si>
  <si>
    <r>
      <rPr>
        <sz val="10"/>
        <rFont val="Noto Sans CJK SC"/>
        <family val="2"/>
      </rPr>
      <t xml:space="preserve">空き枠の閲覧（会員側・モバイル</t>
    </r>
    <r>
      <rPr>
        <sz val="10"/>
        <rFont val="Arial"/>
        <family val="0"/>
        <charset val="1"/>
      </rPr>
      <t xml:space="preserve">UX</t>
    </r>
    <r>
      <rPr>
        <sz val="10"/>
        <rFont val="Noto Sans CJK SC"/>
        <family val="2"/>
      </rPr>
      <t xml:space="preserve">の山場）</t>
    </r>
  </si>
  <si>
    <t xml:space="preserve">STEP4</t>
  </si>
  <si>
    <r>
      <rPr>
        <sz val="10"/>
        <rFont val="Noto Sans CJK SC"/>
        <family val="2"/>
      </rPr>
      <t xml:space="preserve">予約（定員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二重予約の競合制御の山場）</t>
    </r>
  </si>
  <si>
    <t xml:space="preserve">STEP5</t>
  </si>
  <si>
    <t xml:space="preserve">キャンセル＋キャンセル待ち繰り上げ（山場）</t>
  </si>
  <si>
    <t xml:space="preserve">STEP6</t>
  </si>
  <si>
    <t xml:space="preserve">マイ予約＋リマインドの仕組み</t>
  </si>
  <si>
    <t xml:space="preserve">STEP7</t>
  </si>
  <si>
    <t xml:space="preserve">管理ダッシュボード＋仕上げ</t>
  </si>
  <si>
    <t xml:space="preserve">STEP8</t>
  </si>
  <si>
    <r>
      <rPr>
        <sz val="10"/>
        <rFont val="Noto Sans CJK SC"/>
        <family val="2"/>
      </rPr>
      <t xml:space="preserve">静的デモ（</t>
    </r>
    <r>
      <rPr>
        <sz val="10"/>
        <rFont val="Arial"/>
        <family val="0"/>
        <charset val="1"/>
      </rPr>
      <t xml:space="preserve">Vercel</t>
    </r>
    <r>
      <rPr>
        <sz val="10"/>
        <rFont val="Noto Sans CJK SC"/>
        <family val="2"/>
      </rPr>
      <t xml:space="preserve">・スマホ</t>
    </r>
    <r>
      <rPr>
        <sz val="10"/>
        <rFont val="Arial"/>
        <family val="0"/>
        <charset val="1"/>
      </rPr>
      <t xml:space="preserve">/PC</t>
    </r>
    <r>
      <rPr>
        <sz val="10"/>
        <rFont val="Noto Sans CJK SC"/>
        <family val="2"/>
      </rPr>
      <t xml:space="preserve">両対応）</t>
    </r>
  </si>
  <si>
    <t xml:space="preserve">STEP9</t>
  </si>
  <si>
    <r>
      <rPr>
        <sz val="10"/>
        <rFont val="Noto Sans CJK SC"/>
        <family val="2"/>
      </rPr>
      <t xml:space="preserve">ポートフォリオ反映＋</t>
    </r>
    <r>
      <rPr>
        <sz val="10"/>
        <rFont val="Arial"/>
        <family val="0"/>
        <charset val="1"/>
      </rPr>
      <t xml:space="preserve">PM</t>
    </r>
    <r>
      <rPr>
        <sz val="10"/>
        <rFont val="Noto Sans CJK SC"/>
        <family val="2"/>
      </rPr>
      <t xml:space="preserve">資料更新</t>
    </r>
  </si>
  <si>
    <t xml:space="preserve">凡例・運用ルール</t>
  </si>
  <si>
    <t xml:space="preserve">状態の定義</t>
  </si>
  <si>
    <r>
      <rPr>
        <sz val="10"/>
        <rFont val="Noto Sans CJK SC"/>
        <family val="2"/>
      </rPr>
      <t xml:space="preserve">未着手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設計中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実装中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レビュー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完了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構想</t>
    </r>
  </si>
  <si>
    <t xml:space="preserve">色</t>
  </si>
  <si>
    <r>
      <rPr>
        <sz val="10"/>
        <rFont val="Noto Sans CJK SC"/>
        <family val="2"/>
      </rPr>
      <t xml:space="preserve">緑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完了、黄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進行中、灰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未着手</t>
    </r>
  </si>
  <si>
    <r>
      <rPr>
        <sz val="10"/>
        <rFont val="Noto Sans CJK SC"/>
        <family val="2"/>
      </rPr>
      <t xml:space="preserve">各システムの完了度の目安（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）。全体進捗率は平均</t>
    </r>
  </si>
  <si>
    <t xml:space="preserve">運用①</t>
  </si>
  <si>
    <t xml:space="preserve">各システム着手時に状態を「設計中」に更新</t>
  </si>
  <si>
    <t xml:space="preserve">運用②</t>
  </si>
  <si>
    <r>
      <rPr>
        <sz val="10"/>
        <rFont val="Arial"/>
        <family val="0"/>
        <charset val="1"/>
      </rPr>
      <t xml:space="preserve">GitHub</t>
    </r>
    <r>
      <rPr>
        <sz val="10"/>
        <rFont val="Noto Sans CJK SC"/>
        <family val="2"/>
      </rPr>
      <t xml:space="preserve">へ</t>
    </r>
    <r>
      <rPr>
        <sz val="10"/>
        <rFont val="Arial"/>
        <family val="0"/>
        <charset val="1"/>
      </rPr>
      <t xml:space="preserve">push</t>
    </r>
    <r>
      <rPr>
        <sz val="10"/>
        <rFont val="Noto Sans CJK SC"/>
        <family val="2"/>
      </rPr>
      <t xml:space="preserve">するたびに </t>
    </r>
    <r>
      <rPr>
        <sz val="10"/>
        <rFont val="Arial"/>
        <family val="0"/>
        <charset val="1"/>
      </rPr>
      <t xml:space="preserve">releases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04</t>
    </r>
    <r>
      <rPr>
        <sz val="10"/>
        <rFont val="Noto Sans CJK SC"/>
        <family val="2"/>
      </rPr>
      <t xml:space="preserve">）へ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行追記、関連課題は </t>
    </r>
    <r>
      <rPr>
        <sz val="10"/>
        <rFont val="Arial"/>
        <family val="0"/>
        <charset val="1"/>
      </rPr>
      <t xml:space="preserve">issues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）を更新</t>
    </r>
  </si>
  <si>
    <t xml:space="preserve">運用③</t>
  </si>
  <si>
    <t xml:space="preserve">実案件が入ったら実案件を最優先し、デモ開発は後ろ倒し</t>
  </si>
  <si>
    <t xml:space="preserve">運用④</t>
  </si>
  <si>
    <r>
      <rPr>
        <sz val="10"/>
        <rFont val="Arial"/>
        <family val="0"/>
        <charset val="1"/>
      </rPr>
      <t xml:space="preserve">MVP</t>
    </r>
    <r>
      <rPr>
        <sz val="10"/>
        <rFont val="Noto Sans CJK SC"/>
        <family val="2"/>
      </rPr>
      <t xml:space="preserve">完成後の追加観点（難易度分類・指名等）は </t>
    </r>
    <r>
      <rPr>
        <sz val="10"/>
        <rFont val="Arial"/>
        <family val="0"/>
        <charset val="1"/>
      </rPr>
      <t xml:space="preserve">issues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）へ起票し次サイクルで対応</t>
    </r>
  </si>
  <si>
    <t xml:space="preserve">関連ファイル</t>
  </si>
  <si>
    <t xml:space="preserve">docs/pm/01_progress.md, 02_issues.md, 03_decisions.md, 04_releases.md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</si>
</sst>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E6"/>
        <bgColor rgb="FFF2F2F2"/>
      </patternFill>
    </fill>
    <fill>
      <patternFill patternType="solid">
        <fgColor rgb="FF1F4E5F"/>
        <bgColor rgb="FF333333"/>
      </patternFill>
    </fill>
    <fill>
      <patternFill patternType="solid">
        <fgColor rgb="FFC6E0B4"/>
        <bgColor rgb="FFD9E2E6"/>
      </patternFill>
    </fill>
    <fill>
      <patternFill patternType="solid">
        <fgColor rgb="FFFFE699"/>
        <bgColor rgb="FFFFCC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7</v>
      </c>
    </row>
    <row r="5" customFormat="false" ht="15" hidden="false" customHeight="false" outlineLevel="0" collapsed="false">
      <c r="A5" s="3" t="s">
        <v>3</v>
      </c>
      <c r="B5" s="4" t="n">
        <f aca="false">COUNTIF(状態範囲,"完了")</f>
        <v>2</v>
      </c>
    </row>
    <row r="6" customFormat="false" ht="15" hidden="false" customHeight="false" outlineLevel="0" collapsed="false">
      <c r="A6" s="3" t="s">
        <v>4</v>
      </c>
      <c r="B6" s="4" t="n">
        <f aca="false">COUNTIF(状態範囲,"設計中")+COUNTIF(状態範囲,"実装中")+COUNTIF(状態範囲,"レビュー")</f>
        <v>1</v>
      </c>
    </row>
    <row r="7" customFormat="false" ht="15" hidden="false" customHeight="false" outlineLevel="0" collapsed="false">
      <c r="A7" s="3" t="s">
        <v>5</v>
      </c>
      <c r="B7" s="5" t="n">
        <f aca="false">ROUND(AVERAGE(進捗範囲),0)/100</f>
        <v>0.26</v>
      </c>
    </row>
    <row r="9" customFormat="false" ht="17.15" hidden="false" customHeight="false" outlineLevel="0" collapsed="false">
      <c r="A9" s="6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</row>
    <row r="10" customFormat="false" ht="29.85" hidden="false" customHeight="false" outlineLevel="0" collapsed="false">
      <c r="A10" s="4" t="n">
        <v>0</v>
      </c>
      <c r="B10" s="8" t="s">
        <v>13</v>
      </c>
      <c r="C10" s="9" t="s">
        <v>3</v>
      </c>
      <c r="D10" s="10" t="n">
        <v>100</v>
      </c>
      <c r="E10" s="8" t="s">
        <v>14</v>
      </c>
      <c r="F10" s="8" t="s">
        <v>15</v>
      </c>
      <c r="G10" s="11" t="s">
        <v>16</v>
      </c>
    </row>
    <row r="11" customFormat="false" ht="29.85" hidden="false" customHeight="false" outlineLevel="0" collapsed="false">
      <c r="A11" s="4" t="n">
        <v>1</v>
      </c>
      <c r="B11" s="8" t="s">
        <v>17</v>
      </c>
      <c r="C11" s="9" t="s">
        <v>3</v>
      </c>
      <c r="D11" s="10" t="n">
        <v>100</v>
      </c>
      <c r="E11" s="11" t="s">
        <v>18</v>
      </c>
      <c r="F11" s="8" t="s">
        <v>19</v>
      </c>
      <c r="G11" s="11" t="s">
        <v>20</v>
      </c>
    </row>
    <row r="12" customFormat="false" ht="29.85" hidden="false" customHeight="false" outlineLevel="0" collapsed="false">
      <c r="A12" s="4" t="n">
        <v>2</v>
      </c>
      <c r="B12" s="8" t="s">
        <v>21</v>
      </c>
      <c r="C12" s="12" t="s">
        <v>22</v>
      </c>
      <c r="D12" s="10" t="n">
        <v>5</v>
      </c>
      <c r="E12" s="8" t="s">
        <v>23</v>
      </c>
      <c r="F12" s="8" t="s">
        <v>24</v>
      </c>
      <c r="G12" s="11" t="s">
        <v>25</v>
      </c>
    </row>
    <row r="13" customFormat="false" ht="15" hidden="false" customHeight="false" outlineLevel="0" collapsed="false">
      <c r="A13" s="4" t="n">
        <v>3</v>
      </c>
      <c r="B13" s="8" t="s">
        <v>26</v>
      </c>
      <c r="C13" s="13" t="s">
        <v>27</v>
      </c>
      <c r="D13" s="10" t="n">
        <v>0</v>
      </c>
      <c r="E13" s="8" t="s">
        <v>28</v>
      </c>
      <c r="F13" s="8" t="s">
        <v>29</v>
      </c>
      <c r="G13" s="8" t="s">
        <v>30</v>
      </c>
    </row>
    <row r="14" customFormat="false" ht="15" hidden="false" customHeight="false" outlineLevel="0" collapsed="false">
      <c r="A14" s="4" t="n">
        <v>4</v>
      </c>
      <c r="B14" s="8" t="s">
        <v>31</v>
      </c>
      <c r="C14" s="13" t="s">
        <v>27</v>
      </c>
      <c r="D14" s="10" t="n">
        <v>0</v>
      </c>
      <c r="E14" s="8" t="s">
        <v>32</v>
      </c>
      <c r="F14" s="8" t="s">
        <v>33</v>
      </c>
      <c r="G14" s="8" t="s">
        <v>30</v>
      </c>
    </row>
    <row r="15" customFormat="false" ht="15" hidden="false" customHeight="false" outlineLevel="0" collapsed="false">
      <c r="A15" s="4" t="n">
        <v>5</v>
      </c>
      <c r="B15" s="8" t="s">
        <v>34</v>
      </c>
      <c r="C15" s="13" t="s">
        <v>27</v>
      </c>
      <c r="D15" s="10" t="n">
        <v>0</v>
      </c>
      <c r="E15" s="8" t="s">
        <v>35</v>
      </c>
      <c r="F15" s="8" t="s">
        <v>36</v>
      </c>
      <c r="G15" s="8" t="s">
        <v>30</v>
      </c>
    </row>
    <row r="16" customFormat="false" ht="15" hidden="false" customHeight="false" outlineLevel="0" collapsed="false">
      <c r="A16" s="4" t="n">
        <v>6</v>
      </c>
      <c r="B16" s="11" t="s">
        <v>37</v>
      </c>
      <c r="C16" s="13" t="s">
        <v>27</v>
      </c>
      <c r="D16" s="10" t="n">
        <v>0</v>
      </c>
      <c r="E16" s="8" t="s">
        <v>38</v>
      </c>
      <c r="F16" s="8" t="s">
        <v>39</v>
      </c>
      <c r="G16" s="8" t="s">
        <v>30</v>
      </c>
    </row>
    <row r="17" customFormat="false" ht="29.85" hidden="false" customHeight="false" outlineLevel="0" collapsed="false">
      <c r="A17" s="4" t="n">
        <v>7</v>
      </c>
      <c r="B17" s="8" t="s">
        <v>40</v>
      </c>
      <c r="C17" s="13" t="s">
        <v>41</v>
      </c>
      <c r="D17" s="10" t="n">
        <v>0</v>
      </c>
      <c r="E17" s="8" t="s">
        <v>42</v>
      </c>
      <c r="F17" s="8" t="s">
        <v>43</v>
      </c>
      <c r="G17" s="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6" t="s">
        <v>46</v>
      </c>
      <c r="B4" s="7" t="s">
        <v>47</v>
      </c>
      <c r="C4" s="7" t="s">
        <v>8</v>
      </c>
      <c r="D4" s="7" t="s">
        <v>48</v>
      </c>
      <c r="E4" s="7" t="s">
        <v>49</v>
      </c>
    </row>
    <row r="5" customFormat="false" ht="29.85" hidden="false" customHeight="false" outlineLevel="0" collapsed="false">
      <c r="A5" s="4" t="s">
        <v>50</v>
      </c>
      <c r="B5" s="8" t="s">
        <v>51</v>
      </c>
      <c r="C5" s="12" t="s">
        <v>52</v>
      </c>
      <c r="D5" s="4"/>
      <c r="E5" s="8" t="s">
        <v>53</v>
      </c>
    </row>
    <row r="6" customFormat="false" ht="15" hidden="false" customHeight="false" outlineLevel="0" collapsed="false">
      <c r="A6" s="4" t="s">
        <v>54</v>
      </c>
      <c r="B6" s="8" t="s">
        <v>55</v>
      </c>
      <c r="C6" s="13" t="s">
        <v>27</v>
      </c>
      <c r="D6" s="4"/>
      <c r="E6" s="8"/>
    </row>
    <row r="7" customFormat="false" ht="15" hidden="false" customHeight="false" outlineLevel="0" collapsed="false">
      <c r="A7" s="4" t="s">
        <v>56</v>
      </c>
      <c r="B7" s="8" t="s">
        <v>57</v>
      </c>
      <c r="C7" s="13" t="s">
        <v>27</v>
      </c>
      <c r="D7" s="4"/>
      <c r="E7" s="8"/>
    </row>
    <row r="8" customFormat="false" ht="15" hidden="false" customHeight="false" outlineLevel="0" collapsed="false">
      <c r="A8" s="4" t="s">
        <v>58</v>
      </c>
      <c r="B8" s="8" t="s">
        <v>59</v>
      </c>
      <c r="C8" s="13" t="s">
        <v>27</v>
      </c>
      <c r="D8" s="4"/>
      <c r="E8" s="8"/>
    </row>
    <row r="9" customFormat="false" ht="15" hidden="false" customHeight="false" outlineLevel="0" collapsed="false">
      <c r="A9" s="4" t="s">
        <v>60</v>
      </c>
      <c r="B9" s="8" t="s">
        <v>61</v>
      </c>
      <c r="C9" s="13" t="s">
        <v>27</v>
      </c>
      <c r="D9" s="4"/>
      <c r="E9" s="8"/>
    </row>
    <row r="10" customFormat="false" ht="15" hidden="false" customHeight="false" outlineLevel="0" collapsed="false">
      <c r="A10" s="4" t="s">
        <v>62</v>
      </c>
      <c r="B10" s="8" t="s">
        <v>63</v>
      </c>
      <c r="C10" s="13" t="s">
        <v>27</v>
      </c>
      <c r="D10" s="4"/>
      <c r="E10" s="8"/>
    </row>
    <row r="11" customFormat="false" ht="15" hidden="false" customHeight="false" outlineLevel="0" collapsed="false">
      <c r="A11" s="4" t="s">
        <v>64</v>
      </c>
      <c r="B11" s="8" t="s">
        <v>65</v>
      </c>
      <c r="C11" s="13" t="s">
        <v>27</v>
      </c>
      <c r="D11" s="4"/>
      <c r="E11" s="8"/>
    </row>
    <row r="12" customFormat="false" ht="15" hidden="false" customHeight="false" outlineLevel="0" collapsed="false">
      <c r="A12" s="4" t="s">
        <v>66</v>
      </c>
      <c r="B12" s="8" t="s">
        <v>67</v>
      </c>
      <c r="C12" s="13" t="s">
        <v>27</v>
      </c>
      <c r="D12" s="4"/>
      <c r="E12" s="8"/>
    </row>
    <row r="13" customFormat="false" ht="15" hidden="false" customHeight="false" outlineLevel="0" collapsed="false">
      <c r="A13" s="4" t="s">
        <v>68</v>
      </c>
      <c r="B13" s="8" t="s">
        <v>69</v>
      </c>
      <c r="C13" s="13" t="s">
        <v>27</v>
      </c>
      <c r="D13" s="4"/>
      <c r="E13" s="8"/>
    </row>
    <row r="14" customFormat="false" ht="15" hidden="false" customHeight="false" outlineLevel="0" collapsed="false">
      <c r="A14" s="4" t="s">
        <v>70</v>
      </c>
      <c r="B14" s="8" t="s">
        <v>71</v>
      </c>
      <c r="C14" s="13" t="s">
        <v>27</v>
      </c>
      <c r="D14" s="4"/>
      <c r="E1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72</v>
      </c>
    </row>
    <row r="3" customFormat="false" ht="17.15" hidden="false" customHeight="false" outlineLevel="0" collapsed="false">
      <c r="A3" s="14" t="s">
        <v>73</v>
      </c>
      <c r="B3" s="8" t="s">
        <v>74</v>
      </c>
    </row>
    <row r="4" customFormat="false" ht="17.15" hidden="false" customHeight="false" outlineLevel="0" collapsed="false">
      <c r="A4" s="14" t="s">
        <v>75</v>
      </c>
      <c r="B4" s="8" t="s">
        <v>76</v>
      </c>
    </row>
    <row r="5" customFormat="false" ht="17.15" hidden="false" customHeight="false" outlineLevel="0" collapsed="false">
      <c r="A5" s="14" t="s">
        <v>9</v>
      </c>
      <c r="B5" s="8" t="s">
        <v>77</v>
      </c>
    </row>
    <row r="6" customFormat="false" ht="17.15" hidden="false" customHeight="false" outlineLevel="0" collapsed="false">
      <c r="A6" s="14" t="s">
        <v>78</v>
      </c>
      <c r="B6" s="8" t="s">
        <v>79</v>
      </c>
    </row>
    <row r="7" customFormat="false" ht="17.15" hidden="false" customHeight="false" outlineLevel="0" collapsed="false">
      <c r="A7" s="14" t="s">
        <v>80</v>
      </c>
      <c r="B7" s="11" t="s">
        <v>81</v>
      </c>
    </row>
    <row r="8" customFormat="false" ht="17.15" hidden="false" customHeight="false" outlineLevel="0" collapsed="false">
      <c r="A8" s="14" t="s">
        <v>82</v>
      </c>
      <c r="B8" s="8" t="s">
        <v>83</v>
      </c>
    </row>
    <row r="9" customFormat="false" ht="29.85" hidden="false" customHeight="false" outlineLevel="0" collapsed="false">
      <c r="A9" s="14" t="s">
        <v>84</v>
      </c>
      <c r="B9" s="11" t="s">
        <v>85</v>
      </c>
    </row>
    <row r="10" customFormat="false" ht="17.15" hidden="false" customHeight="false" outlineLevel="0" collapsed="false">
      <c r="A10" s="14" t="s">
        <v>86</v>
      </c>
      <c r="B10" s="11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2026-08-27T23:42:48Z</dcterms:created>
  <dc:creator>openpyxl</dc:creator>
  <dc:description/>
  <dc:language>en-US</dc:language>
  <cp:lastModifiedBy/>
  <dcterms:modified xsi:type="dcterms:W3CDTF">2026-08-27T23:42:48Z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